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マスター" sheetId="1" state="visible" r:id="rId1"/>
    <sheet name="学習計画" sheetId="2" state="visible" r:id="rId2"/>
  </sheets>
  <definedNames>
    <definedName name="英語">マスター!$B$2:$B$11</definedName>
    <definedName name="数学">マスター!$B$12:$B$21</definedName>
    <definedName name="国語">マスター!$B$22:$B$30</definedName>
    <definedName name="理科">マスター!$B$31:$B$38</definedName>
    <definedName name="社会">マスター!$B$39:$B$46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22"/>
    </font>
    <font>
      <b val="1"/>
      <sz val="11"/>
    </font>
    <font>
      <b val="1"/>
      <color rgb="00FFFFFF"/>
      <sz val="10"/>
    </font>
    <font>
      <b val="1"/>
      <color rgb="00FFFFFF"/>
      <sz val="9"/>
    </font>
    <font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AD1DC"/>
        <bgColor rgb="00EAD1DC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FFFFD1"/>
        <bgColor rgb="00FFFFD1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2" fillId="8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0" fillId="9" borderId="0" pivotButton="0" quotePrefix="0" xfId="0"/>
    <xf numFmtId="165" fontId="0" fillId="9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10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9" fontId="3" fillId="3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9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9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9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9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0" customWidth="1" min="4" max="4"/>
  </cols>
  <sheetData>
    <row r="1" ht="22" customHeight="1">
      <c r="A1" s="1" t="inlineStr">
        <is>
          <t>教科</t>
        </is>
      </c>
      <c r="B1" s="1" t="inlineStr">
        <is>
          <t>単元名</t>
        </is>
      </c>
      <c r="C1" s="1" t="inlineStr">
        <is>
          <t>教材名（任意）</t>
        </is>
      </c>
      <c r="D1" s="1" t="inlineStr">
        <is>
          <t>備考（任意）</t>
        </is>
      </c>
    </row>
    <row r="2" ht="18" customHeight="1">
      <c r="A2" s="2" t="inlineStr">
        <is>
          <t>英語</t>
        </is>
      </c>
      <c r="B2" s="2" t="inlineStr">
        <is>
          <t>文法：時制</t>
        </is>
      </c>
      <c r="C2" s="2" t="inlineStr"/>
      <c r="D2" s="2" t="inlineStr"/>
    </row>
    <row r="3" ht="18" customHeight="1">
      <c r="A3" s="2" t="inlineStr">
        <is>
          <t>英語</t>
        </is>
      </c>
      <c r="B3" s="2" t="inlineStr">
        <is>
          <t>文法：仮定法</t>
        </is>
      </c>
      <c r="C3" s="2" t="inlineStr"/>
      <c r="D3" s="2" t="inlineStr"/>
    </row>
    <row r="4" ht="18" customHeight="1">
      <c r="A4" s="2" t="inlineStr">
        <is>
          <t>英語</t>
        </is>
      </c>
      <c r="B4" s="2" t="inlineStr">
        <is>
          <t>文法：関係詞</t>
        </is>
      </c>
      <c r="C4" s="2" t="inlineStr"/>
      <c r="D4" s="2" t="inlineStr"/>
    </row>
    <row r="5" ht="18" customHeight="1">
      <c r="A5" s="2" t="inlineStr">
        <is>
          <t>英語</t>
        </is>
      </c>
      <c r="B5" s="2" t="inlineStr">
        <is>
          <t>文法：不定詞・動名詞</t>
        </is>
      </c>
      <c r="C5" s="2" t="inlineStr"/>
      <c r="D5" s="2" t="inlineStr"/>
    </row>
    <row r="6" ht="18" customHeight="1">
      <c r="A6" s="2" t="inlineStr">
        <is>
          <t>英語</t>
        </is>
      </c>
      <c r="B6" s="2" t="inlineStr">
        <is>
          <t>文法：比較表現</t>
        </is>
      </c>
      <c r="C6" s="2" t="inlineStr"/>
      <c r="D6" s="2" t="inlineStr"/>
    </row>
    <row r="7" ht="18" customHeight="1">
      <c r="A7" s="2" t="inlineStr">
        <is>
          <t>英語</t>
        </is>
      </c>
      <c r="B7" s="2" t="inlineStr">
        <is>
          <t>長文読解①</t>
        </is>
      </c>
      <c r="C7" s="2" t="inlineStr"/>
      <c r="D7" s="2" t="inlineStr"/>
    </row>
    <row r="8" ht="18" customHeight="1">
      <c r="A8" s="2" t="inlineStr">
        <is>
          <t>英語</t>
        </is>
      </c>
      <c r="B8" s="2" t="inlineStr">
        <is>
          <t>長文読解②</t>
        </is>
      </c>
      <c r="C8" s="2" t="inlineStr"/>
      <c r="D8" s="2" t="inlineStr"/>
    </row>
    <row r="9" ht="18" customHeight="1">
      <c r="A9" s="2" t="inlineStr">
        <is>
          <t>英語</t>
        </is>
      </c>
      <c r="B9" s="2" t="inlineStr">
        <is>
          <t>リスニング①</t>
        </is>
      </c>
      <c r="C9" s="2" t="inlineStr"/>
      <c r="D9" s="2" t="inlineStr"/>
    </row>
    <row r="10" ht="18" customHeight="1">
      <c r="A10" s="2" t="inlineStr">
        <is>
          <t>英語</t>
        </is>
      </c>
      <c r="B10" s="2" t="inlineStr">
        <is>
          <t>英作文①</t>
        </is>
      </c>
      <c r="C10" s="2" t="inlineStr"/>
      <c r="D10" s="2" t="inlineStr"/>
    </row>
    <row r="11" ht="18" customHeight="1">
      <c r="A11" s="2" t="inlineStr">
        <is>
          <t>英語</t>
        </is>
      </c>
      <c r="B11" s="2" t="inlineStr">
        <is>
          <t>英作文②</t>
        </is>
      </c>
      <c r="C11" s="2" t="inlineStr"/>
      <c r="D11" s="2" t="inlineStr"/>
    </row>
    <row r="12" ht="18" customHeight="1">
      <c r="A12" s="3" t="inlineStr">
        <is>
          <t>数学</t>
        </is>
      </c>
      <c r="B12" s="3" t="inlineStr">
        <is>
          <t>因数分解</t>
        </is>
      </c>
      <c r="C12" s="3" t="inlineStr"/>
      <c r="D12" s="3" t="inlineStr"/>
    </row>
    <row r="13" ht="18" customHeight="1">
      <c r="A13" s="3" t="inlineStr">
        <is>
          <t>数学</t>
        </is>
      </c>
      <c r="B13" s="3" t="inlineStr">
        <is>
          <t>二次方程式</t>
        </is>
      </c>
      <c r="C13" s="3" t="inlineStr"/>
      <c r="D13" s="3" t="inlineStr"/>
    </row>
    <row r="14" ht="18" customHeight="1">
      <c r="A14" s="3" t="inlineStr">
        <is>
          <t>数学</t>
        </is>
      </c>
      <c r="B14" s="3" t="inlineStr">
        <is>
          <t>二次関数</t>
        </is>
      </c>
      <c r="C14" s="3" t="inlineStr"/>
      <c r="D14" s="3" t="inlineStr"/>
    </row>
    <row r="15" ht="18" customHeight="1">
      <c r="A15" s="3" t="inlineStr">
        <is>
          <t>数学</t>
        </is>
      </c>
      <c r="B15" s="3" t="inlineStr">
        <is>
          <t>三角比</t>
        </is>
      </c>
      <c r="C15" s="3" t="inlineStr"/>
      <c r="D15" s="3" t="inlineStr"/>
    </row>
    <row r="16" ht="18" customHeight="1">
      <c r="A16" s="3" t="inlineStr">
        <is>
          <t>数学</t>
        </is>
      </c>
      <c r="B16" s="3" t="inlineStr">
        <is>
          <t>確率・場合の数</t>
        </is>
      </c>
      <c r="C16" s="3" t="inlineStr"/>
      <c r="D16" s="3" t="inlineStr"/>
    </row>
    <row r="17" ht="18" customHeight="1">
      <c r="A17" s="3" t="inlineStr">
        <is>
          <t>数学</t>
        </is>
      </c>
      <c r="B17" s="3" t="inlineStr">
        <is>
          <t>数列</t>
        </is>
      </c>
      <c r="C17" s="3" t="inlineStr"/>
      <c r="D17" s="3" t="inlineStr"/>
    </row>
    <row r="18" ht="18" customHeight="1">
      <c r="A18" s="3" t="inlineStr">
        <is>
          <t>数学</t>
        </is>
      </c>
      <c r="B18" s="3" t="inlineStr">
        <is>
          <t>微分</t>
        </is>
      </c>
      <c r="C18" s="3" t="inlineStr"/>
      <c r="D18" s="3" t="inlineStr"/>
    </row>
    <row r="19" ht="18" customHeight="1">
      <c r="A19" s="3" t="inlineStr">
        <is>
          <t>数学</t>
        </is>
      </c>
      <c r="B19" s="3" t="inlineStr">
        <is>
          <t>積分</t>
        </is>
      </c>
      <c r="C19" s="3" t="inlineStr"/>
      <c r="D19" s="3" t="inlineStr"/>
    </row>
    <row r="20" ht="18" customHeight="1">
      <c r="A20" s="3" t="inlineStr">
        <is>
          <t>数学</t>
        </is>
      </c>
      <c r="B20" s="3" t="inlineStr">
        <is>
          <t>ベクトル</t>
        </is>
      </c>
      <c r="C20" s="3" t="inlineStr"/>
      <c r="D20" s="3" t="inlineStr"/>
    </row>
    <row r="21" ht="18" customHeight="1">
      <c r="A21" s="3" t="inlineStr">
        <is>
          <t>数学</t>
        </is>
      </c>
      <c r="B21" s="3" t="inlineStr">
        <is>
          <t>整数の性質</t>
        </is>
      </c>
      <c r="C21" s="3" t="inlineStr"/>
      <c r="D21" s="3" t="inlineStr"/>
    </row>
    <row r="22" ht="18" customHeight="1">
      <c r="A22" s="4" t="inlineStr">
        <is>
          <t>国語</t>
        </is>
      </c>
      <c r="B22" s="4" t="inlineStr">
        <is>
          <t>現代文：評論①</t>
        </is>
      </c>
      <c r="C22" s="4" t="inlineStr"/>
      <c r="D22" s="4" t="inlineStr"/>
    </row>
    <row r="23" ht="18" customHeight="1">
      <c r="A23" s="4" t="inlineStr">
        <is>
          <t>国語</t>
        </is>
      </c>
      <c r="B23" s="4" t="inlineStr">
        <is>
          <t>現代文：評論②</t>
        </is>
      </c>
      <c r="C23" s="4" t="inlineStr"/>
      <c r="D23" s="4" t="inlineStr"/>
    </row>
    <row r="24" ht="18" customHeight="1">
      <c r="A24" s="4" t="inlineStr">
        <is>
          <t>国語</t>
        </is>
      </c>
      <c r="B24" s="4" t="inlineStr">
        <is>
          <t>現代文：小説</t>
        </is>
      </c>
      <c r="C24" s="4" t="inlineStr"/>
      <c r="D24" s="4" t="inlineStr"/>
    </row>
    <row r="25" ht="18" customHeight="1">
      <c r="A25" s="4" t="inlineStr">
        <is>
          <t>国語</t>
        </is>
      </c>
      <c r="B25" s="4" t="inlineStr">
        <is>
          <t>古文：文法基礎</t>
        </is>
      </c>
      <c r="C25" s="4" t="inlineStr"/>
      <c r="D25" s="4" t="inlineStr"/>
    </row>
    <row r="26" ht="18" customHeight="1">
      <c r="A26" s="4" t="inlineStr">
        <is>
          <t>国語</t>
        </is>
      </c>
      <c r="B26" s="4" t="inlineStr">
        <is>
          <t>古文：読解①</t>
        </is>
      </c>
      <c r="C26" s="4" t="inlineStr"/>
      <c r="D26" s="4" t="inlineStr"/>
    </row>
    <row r="27" ht="18" customHeight="1">
      <c r="A27" s="4" t="inlineStr">
        <is>
          <t>国語</t>
        </is>
      </c>
      <c r="B27" s="4" t="inlineStr">
        <is>
          <t>古文：読解②</t>
        </is>
      </c>
      <c r="C27" s="4" t="inlineStr"/>
      <c r="D27" s="4" t="inlineStr"/>
    </row>
    <row r="28" ht="18" customHeight="1">
      <c r="A28" s="4" t="inlineStr">
        <is>
          <t>国語</t>
        </is>
      </c>
      <c r="B28" s="4" t="inlineStr">
        <is>
          <t>漢文：句法</t>
        </is>
      </c>
      <c r="C28" s="4" t="inlineStr"/>
      <c r="D28" s="4" t="inlineStr"/>
    </row>
    <row r="29" ht="18" customHeight="1">
      <c r="A29" s="4" t="inlineStr">
        <is>
          <t>国語</t>
        </is>
      </c>
      <c r="B29" s="4" t="inlineStr">
        <is>
          <t>漢文：読解</t>
        </is>
      </c>
      <c r="C29" s="4" t="inlineStr"/>
      <c r="D29" s="4" t="inlineStr"/>
    </row>
    <row r="30" ht="18" customHeight="1">
      <c r="A30" s="4" t="inlineStr">
        <is>
          <t>国語</t>
        </is>
      </c>
      <c r="B30" s="4" t="inlineStr">
        <is>
          <t>語彙・漢字</t>
        </is>
      </c>
      <c r="C30" s="4" t="inlineStr"/>
      <c r="D30" s="4" t="inlineStr"/>
    </row>
    <row r="31" ht="18" customHeight="1">
      <c r="A31" s="5" t="inlineStr">
        <is>
          <t>理科</t>
        </is>
      </c>
      <c r="B31" s="5" t="inlineStr">
        <is>
          <t>物理：力学①</t>
        </is>
      </c>
      <c r="C31" s="5" t="inlineStr"/>
      <c r="D31" s="5" t="inlineStr"/>
    </row>
    <row r="32" ht="18" customHeight="1">
      <c r="A32" s="5" t="inlineStr">
        <is>
          <t>理科</t>
        </is>
      </c>
      <c r="B32" s="5" t="inlineStr">
        <is>
          <t>物理：力学②</t>
        </is>
      </c>
      <c r="C32" s="5" t="inlineStr"/>
      <c r="D32" s="5" t="inlineStr"/>
    </row>
    <row r="33" ht="18" customHeight="1">
      <c r="A33" s="5" t="inlineStr">
        <is>
          <t>理科</t>
        </is>
      </c>
      <c r="B33" s="5" t="inlineStr">
        <is>
          <t>物理：電磁気</t>
        </is>
      </c>
      <c r="C33" s="5" t="inlineStr"/>
      <c r="D33" s="5" t="inlineStr"/>
    </row>
    <row r="34" ht="18" customHeight="1">
      <c r="A34" s="5" t="inlineStr">
        <is>
          <t>理科</t>
        </is>
      </c>
      <c r="B34" s="5" t="inlineStr">
        <is>
          <t>化学：理論化学</t>
        </is>
      </c>
      <c r="C34" s="5" t="inlineStr"/>
      <c r="D34" s="5" t="inlineStr"/>
    </row>
    <row r="35" ht="18" customHeight="1">
      <c r="A35" s="5" t="inlineStr">
        <is>
          <t>理科</t>
        </is>
      </c>
      <c r="B35" s="5" t="inlineStr">
        <is>
          <t>化学：有機化学</t>
        </is>
      </c>
      <c r="C35" s="5" t="inlineStr"/>
      <c r="D35" s="5" t="inlineStr"/>
    </row>
    <row r="36" ht="18" customHeight="1">
      <c r="A36" s="5" t="inlineStr">
        <is>
          <t>理科</t>
        </is>
      </c>
      <c r="B36" s="5" t="inlineStr">
        <is>
          <t>化学：無機化学</t>
        </is>
      </c>
      <c r="C36" s="5" t="inlineStr"/>
      <c r="D36" s="5" t="inlineStr"/>
    </row>
    <row r="37" ht="18" customHeight="1">
      <c r="A37" s="5" t="inlineStr">
        <is>
          <t>理科</t>
        </is>
      </c>
      <c r="B37" s="5" t="inlineStr">
        <is>
          <t>生物：細胞・遺伝</t>
        </is>
      </c>
      <c r="C37" s="5" t="inlineStr"/>
      <c r="D37" s="5" t="inlineStr"/>
    </row>
    <row r="38" ht="18" customHeight="1">
      <c r="A38" s="5" t="inlineStr">
        <is>
          <t>理科</t>
        </is>
      </c>
      <c r="B38" s="5" t="inlineStr">
        <is>
          <t>地学：大気・気象</t>
        </is>
      </c>
      <c r="C38" s="5" t="inlineStr"/>
      <c r="D38" s="5" t="inlineStr"/>
    </row>
    <row r="39" ht="18" customHeight="1">
      <c r="A39" s="6" t="inlineStr">
        <is>
          <t>社会</t>
        </is>
      </c>
      <c r="B39" s="6" t="inlineStr">
        <is>
          <t>日本史：近代①</t>
        </is>
      </c>
      <c r="C39" s="6" t="inlineStr"/>
      <c r="D39" s="6" t="inlineStr"/>
    </row>
    <row r="40" ht="18" customHeight="1">
      <c r="A40" s="6" t="inlineStr">
        <is>
          <t>社会</t>
        </is>
      </c>
      <c r="B40" s="6" t="inlineStr">
        <is>
          <t>日本史：近代②</t>
        </is>
      </c>
      <c r="C40" s="6" t="inlineStr"/>
      <c r="D40" s="6" t="inlineStr"/>
    </row>
    <row r="41" ht="18" customHeight="1">
      <c r="A41" s="6" t="inlineStr">
        <is>
          <t>社会</t>
        </is>
      </c>
      <c r="B41" s="6" t="inlineStr">
        <is>
          <t>日本史：現代</t>
        </is>
      </c>
      <c r="C41" s="6" t="inlineStr"/>
      <c r="D41" s="6" t="inlineStr"/>
    </row>
    <row r="42" ht="18" customHeight="1">
      <c r="A42" s="6" t="inlineStr">
        <is>
          <t>社会</t>
        </is>
      </c>
      <c r="B42" s="6" t="inlineStr">
        <is>
          <t>世界史：近代ヨーロッパ</t>
        </is>
      </c>
      <c r="C42" s="6" t="inlineStr"/>
      <c r="D42" s="6" t="inlineStr"/>
    </row>
    <row r="43" ht="18" customHeight="1">
      <c r="A43" s="6" t="inlineStr">
        <is>
          <t>社会</t>
        </is>
      </c>
      <c r="B43" s="6" t="inlineStr">
        <is>
          <t>世界史：近代アジア</t>
        </is>
      </c>
      <c r="C43" s="6" t="inlineStr"/>
      <c r="D43" s="6" t="inlineStr"/>
    </row>
    <row r="44" ht="18" customHeight="1">
      <c r="A44" s="6" t="inlineStr">
        <is>
          <t>社会</t>
        </is>
      </c>
      <c r="B44" s="6" t="inlineStr">
        <is>
          <t>地理：地形・気候</t>
        </is>
      </c>
      <c r="C44" s="6" t="inlineStr"/>
      <c r="D44" s="6" t="inlineStr"/>
    </row>
    <row r="45" ht="18" customHeight="1">
      <c r="A45" s="6" t="inlineStr">
        <is>
          <t>社会</t>
        </is>
      </c>
      <c r="B45" s="6" t="inlineStr">
        <is>
          <t>地理：産業・人口</t>
        </is>
      </c>
      <c r="C45" s="6" t="inlineStr"/>
      <c r="D45" s="6" t="inlineStr"/>
    </row>
    <row r="46" ht="18" customHeight="1">
      <c r="A46" s="6" t="inlineStr">
        <is>
          <t>社会</t>
        </is>
      </c>
      <c r="B46" s="6" t="inlineStr">
        <is>
          <t>政治経済：憲法</t>
        </is>
      </c>
      <c r="C46" s="6" t="inlineStr"/>
      <c r="D46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42" customHeight="1">
      <c r="A1" s="7" t="inlineStr">
        <is>
          <t>学習計画表</t>
        </is>
      </c>
    </row>
    <row r="2" ht="26" customHeight="1">
      <c r="A2" s="8" t="inlineStr">
        <is>
          <t>生徒名</t>
        </is>
      </c>
      <c r="B2" s="9" t="n"/>
      <c r="C2" s="8" t="inlineStr">
        <is>
          <t>開始日</t>
        </is>
      </c>
      <c r="D2" s="10" t="n">
        <v>45839</v>
      </c>
      <c r="E2" s="11" t="inlineStr">
        <is>
          <t>〜</t>
        </is>
      </c>
      <c r="F2" s="8" t="inlineStr">
        <is>
          <t>終了日</t>
        </is>
      </c>
      <c r="G2" s="10" t="n">
        <v>45900</v>
      </c>
    </row>
    <row r="3" ht="22" customHeight="1">
      <c r="A3" s="12" t="inlineStr">
        <is>
          <t>教科</t>
        </is>
      </c>
      <c r="B3" s="12" t="inlineStr">
        <is>
          <t>目標・ゴール</t>
        </is>
      </c>
      <c r="C3" s="12" t="inlineStr">
        <is>
          <t>進捗率</t>
        </is>
      </c>
      <c r="D3" s="13" t="inlineStr">
        <is>
          <t>第1週</t>
        </is>
      </c>
      <c r="E3" s="13" t="inlineStr">
        <is>
          <t>第2週</t>
        </is>
      </c>
      <c r="F3" s="13" t="inlineStr">
        <is>
          <t>第3週</t>
        </is>
      </c>
      <c r="G3" s="13" t="inlineStr">
        <is>
          <t>第4週</t>
        </is>
      </c>
      <c r="H3" s="13" t="inlineStr">
        <is>
          <t>第5週</t>
        </is>
      </c>
      <c r="I3" s="13" t="inlineStr">
        <is>
          <t>第6週</t>
        </is>
      </c>
      <c r="J3" s="13" t="inlineStr">
        <is>
          <t>第7週</t>
        </is>
      </c>
      <c r="K3" s="13" t="inlineStr">
        <is>
          <t>第8週</t>
        </is>
      </c>
      <c r="L3" s="13" t="inlineStr">
        <is>
          <t>第9週</t>
        </is>
      </c>
      <c r="M3" s="13" t="inlineStr">
        <is>
          <t>第10週</t>
        </is>
      </c>
      <c r="N3" s="13" t="inlineStr">
        <is>
          <t>第11週</t>
        </is>
      </c>
      <c r="O3" s="13" t="inlineStr">
        <is>
          <t>第12週</t>
        </is>
      </c>
      <c r="P3" s="13" t="inlineStr">
        <is>
          <t>第13週</t>
        </is>
      </c>
      <c r="Q3" s="13" t="inlineStr">
        <is>
          <t>第14週</t>
        </is>
      </c>
      <c r="R3" s="13" t="inlineStr">
        <is>
          <t>第15週</t>
        </is>
      </c>
      <c r="S3" s="13" t="inlineStr">
        <is>
          <t>第16週</t>
        </is>
      </c>
    </row>
    <row r="4" ht="28" customHeight="1">
      <c r="A4" s="14" t="n"/>
      <c r="B4" s="14" t="n"/>
      <c r="C4" s="14" t="n"/>
      <c r="D4" s="15">
        <f>TEXT($D$2+0,"M/D")&amp;"～"&amp;TEXT($D$2+6,"M/D")</f>
        <v/>
      </c>
      <c r="E4" s="15">
        <f>TEXT($D$2+7,"M/D")&amp;"～"&amp;TEXT($D$2+13,"M/D")</f>
        <v/>
      </c>
      <c r="F4" s="15">
        <f>TEXT($D$2+14,"M/D")&amp;"～"&amp;TEXT($D$2+20,"M/D")</f>
        <v/>
      </c>
      <c r="G4" s="15">
        <f>TEXT($D$2+21,"M/D")&amp;"～"&amp;TEXT($D$2+27,"M/D")</f>
        <v/>
      </c>
      <c r="H4" s="15">
        <f>TEXT($D$2+28,"M/D")&amp;"～"&amp;TEXT($D$2+34,"M/D")</f>
        <v/>
      </c>
      <c r="I4" s="15">
        <f>TEXT($D$2+35,"M/D")&amp;"～"&amp;TEXT($D$2+41,"M/D")</f>
        <v/>
      </c>
      <c r="J4" s="15">
        <f>TEXT($D$2+42,"M/D")&amp;"～"&amp;TEXT($D$2+48,"M/D")</f>
        <v/>
      </c>
      <c r="K4" s="15">
        <f>TEXT($D$2+49,"M/D")&amp;"～"&amp;TEXT($D$2+55,"M/D")</f>
        <v/>
      </c>
      <c r="L4" s="15">
        <f>TEXT($D$2+56,"M/D")&amp;"～"&amp;TEXT($D$2+62,"M/D")</f>
        <v/>
      </c>
      <c r="M4" s="15">
        <f>TEXT($D$2+63,"M/D")&amp;"～"&amp;TEXT($D$2+69,"M/D")</f>
        <v/>
      </c>
      <c r="N4" s="15">
        <f>TEXT($D$2+70,"M/D")&amp;"～"&amp;TEXT($D$2+76,"M/D")</f>
        <v/>
      </c>
      <c r="O4" s="15">
        <f>TEXT($D$2+77,"M/D")&amp;"～"&amp;TEXT($D$2+83,"M/D")</f>
        <v/>
      </c>
      <c r="P4" s="15">
        <f>TEXT($D$2+84,"M/D")&amp;"～"&amp;TEXT($D$2+90,"M/D")</f>
        <v/>
      </c>
      <c r="Q4" s="15">
        <f>TEXT($D$2+91,"M/D")&amp;"～"&amp;TEXT($D$2+97,"M/D")</f>
        <v/>
      </c>
      <c r="R4" s="15">
        <f>TEXT($D$2+98,"M/D")&amp;"～"&amp;TEXT($D$2+104,"M/D")</f>
        <v/>
      </c>
      <c r="S4" s="15">
        <f>TEXT($D$2+105,"M/D")&amp;"～"&amp;TEXT($D$2+111,"M/D")</f>
        <v/>
      </c>
    </row>
    <row r="5" ht="24" customHeight="1">
      <c r="A5" s="16" t="inlineStr">
        <is>
          <t>英語</t>
        </is>
      </c>
      <c r="B5" s="17" t="n"/>
      <c r="C5" s="18">
        <f>COUNTA(D5:S5)/16</f>
        <v/>
      </c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</row>
    <row r="6" ht="24" customHeight="1">
      <c r="A6" s="20" t="inlineStr">
        <is>
          <t>数学</t>
        </is>
      </c>
      <c r="B6" s="21" t="n"/>
      <c r="C6" s="22">
        <f>COUNTA(D6:S6)/16</f>
        <v/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</row>
    <row r="7" ht="24" customHeight="1">
      <c r="A7" s="23" t="inlineStr">
        <is>
          <t>国語</t>
        </is>
      </c>
      <c r="B7" s="24" t="n"/>
      <c r="C7" s="25">
        <f>COUNTA(D7:S7)/16</f>
        <v/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</row>
    <row r="8" ht="24" customHeight="1">
      <c r="A8" s="26" t="inlineStr">
        <is>
          <t>理科</t>
        </is>
      </c>
      <c r="B8" s="27" t="n"/>
      <c r="C8" s="28">
        <f>COUNTA(D8:S8)/16</f>
        <v/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</row>
    <row r="9" ht="24" customHeight="1">
      <c r="A9" s="29" t="inlineStr">
        <is>
          <t>社会</t>
        </is>
      </c>
      <c r="B9" s="30" t="n"/>
      <c r="C9" s="31">
        <f>COUNTA(D9:S9)/16</f>
        <v/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</row>
  </sheetData>
  <mergeCells count="4">
    <mergeCell ref="B3:B4"/>
    <mergeCell ref="C3:C4"/>
    <mergeCell ref="A3:A4"/>
    <mergeCell ref="A1:S1"/>
  </mergeCells>
  <conditionalFormatting sqref="C5:C9">
    <cfRule type="colorScale" priority="1">
      <colorScale>
        <cfvo type="num" val="0"/>
        <cfvo type="num" val="0.5"/>
        <cfvo type="num" val="1"/>
        <color rgb="00FF4444"/>
        <color rgb="00FFDD00"/>
        <color rgb="0000BB44"/>
      </colorScale>
    </cfRule>
  </conditionalFormatting>
  <dataValidations count="5">
    <dataValidation sqref="D5 E5 F5 G5 H5 I5 J5 K5 L5 M5 N5 O5 P5 Q5 R5 S5" showDropDown="0" showInputMessage="0" showErrorMessage="0" allowBlank="1" type="list">
      <formula1>'マスター'!$B$2:$B$11</formula1>
    </dataValidation>
    <dataValidation sqref="D6 E6 F6 G6 H6 I6 J6 K6 L6 M6 N6 O6 P6 Q6 R6 S6" showDropDown="0" showInputMessage="0" showErrorMessage="0" allowBlank="1" type="list">
      <formula1>'マスター'!$B$12:$B$21</formula1>
    </dataValidation>
    <dataValidation sqref="D7 E7 F7 G7 H7 I7 J7 K7 L7 M7 N7 O7 P7 Q7 R7 S7" showDropDown="0" showInputMessage="0" showErrorMessage="0" allowBlank="1" type="list">
      <formula1>'マスター'!$B$22:$B$30</formula1>
    </dataValidation>
    <dataValidation sqref="D8 E8 F8 G8 H8 I8 J8 K8 L8 M8 N8 O8 P8 Q8 R8 S8" showDropDown="0" showInputMessage="0" showErrorMessage="0" allowBlank="1" type="list">
      <formula1>'マスター'!$B$31:$B$38</formula1>
    </dataValidation>
    <dataValidation sqref="D9 E9 F9 G9 H9 I9 J9 K9 L9 M9 N9 O9 P9 Q9 R9 S9" showDropDown="0" showInputMessage="0" showErrorMessage="0" allowBlank="1" type="list">
      <formula1>'マスター'!$B$39:$B$46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2026-05-17T10:24:16Z</dcterms:created>
  <dcterms:modified xsi:type="dcterms:W3CDTF">2026-05-17T10:24:16Z</dcterms:modified>
</cp:coreProperties>
</file>